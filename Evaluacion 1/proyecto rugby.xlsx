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120" yWindow="-120" windowWidth="24000" windowHeight="16116"/>
  </bookViews>
  <sheets>
    <sheet name="CalendarioProyecto" sheetId="11" r:id="rId1"/>
    <sheet name="Acerca de" sheetId="12" r:id="rId2"/>
  </sheets>
  <definedNames>
    <definedName name="Display_Week">CalendarioProyecto!$E$4</definedName>
    <definedName name="hoy" localSheetId="0">TODAY()</definedName>
    <definedName name="Project_Start">CalendarioProyecto!$E$3</definedName>
    <definedName name="task_end" localSheetId="0">CalendarioProyecto!$F1</definedName>
    <definedName name="task_progress" localSheetId="0">CalendarioProyecto!$D1</definedName>
    <definedName name="task_start" localSheetId="0">CalendarioProyecto!$E1</definedName>
    <definedName name="_xlnm.Print_Titles" localSheetId="0">CalendarioProyecto!$4:$6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 i="11" l="1"/>
  <c r="H7" i="11" l="1"/>
  <c r="E9" i="11" l="1"/>
  <c r="F9" i="11" s="1"/>
  <c r="E21" i="11" l="1"/>
  <c r="F21" i="11" s="1"/>
  <c r="E22" i="11" s="1"/>
  <c r="F22" i="11" s="1"/>
  <c r="H22" i="11" s="1"/>
  <c r="E10" i="11"/>
  <c r="F10" i="11" s="1"/>
  <c r="I5" i="11"/>
  <c r="H33" i="11"/>
  <c r="H32" i="11"/>
  <c r="H31" i="11"/>
  <c r="H30" i="11"/>
  <c r="H29" i="11"/>
  <c r="H28" i="11"/>
  <c r="H26" i="11"/>
  <c r="H20" i="11"/>
  <c r="H14" i="11"/>
  <c r="H8" i="11"/>
  <c r="H21" i="11" l="1"/>
  <c r="E23" i="11"/>
  <c r="H9" i="11"/>
  <c r="F23" i="11"/>
  <c r="E25" i="11"/>
  <c r="E11" i="11"/>
  <c r="F11" i="11" s="1"/>
  <c r="E15" i="11"/>
  <c r="E16" i="11" s="1"/>
  <c r="I6" i="11"/>
  <c r="H27" i="11" l="1"/>
  <c r="F25" i="11"/>
  <c r="H25" i="11" s="1"/>
  <c r="H10" i="11"/>
  <c r="E24" i="11"/>
  <c r="H23" i="11"/>
  <c r="F16" i="11"/>
  <c r="F15" i="11"/>
  <c r="H15" i="11" s="1"/>
  <c r="H13" i="11"/>
  <c r="E12" i="11"/>
  <c r="J5" i="11"/>
  <c r="K5" i="11" s="1"/>
  <c r="L5" i="11" s="1"/>
  <c r="M5" i="11" s="1"/>
  <c r="N5" i="11" s="1"/>
  <c r="O5" i="11" s="1"/>
  <c r="P5" i="11" s="1"/>
  <c r="I4" i="11"/>
  <c r="F24" i="11" l="1"/>
  <c r="H24" i="11" s="1"/>
  <c r="H16" i="11"/>
  <c r="E17" i="11"/>
  <c r="E18" i="11" s="1"/>
  <c r="E19" i="11" s="1"/>
  <c r="H11" i="11"/>
  <c r="F12" i="11"/>
  <c r="H12" i="11" s="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<sst xmlns="http://schemas.openxmlformats.org/spreadsheetml/2006/main" count="78" uniqueCount="56">
  <si>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</si>
  <si>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</si>
  <si>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</si>
  <si>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</si>
  <si>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</si>
  <si>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</si>
  <si>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</si>
  <si>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</si>
  <si>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</si>
  <si>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</si>
  <si>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</si>
  <si>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</si>
  <si>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</si>
  <si>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TÍTULO DEL PROYECTO</t>
  </si>
  <si>
    <t>Nombre de la compañía</t>
  </si>
  <si>
    <t>Responsable del proyecto</t>
  </si>
  <si>
    <t>TAREA</t>
  </si>
  <si>
    <t>Tarea 1</t>
  </si>
  <si>
    <t>Tarea 2</t>
  </si>
  <si>
    <t>Tarea 3</t>
  </si>
  <si>
    <t>Tarea 4</t>
  </si>
  <si>
    <t>Tarea 5</t>
  </si>
  <si>
    <t>Título de la fase 3</t>
  </si>
  <si>
    <t>Título de la fase 4</t>
  </si>
  <si>
    <t>Inserte nuevas filas ENCIMA de ésta</t>
  </si>
  <si>
    <t>Inicio del proyecto:</t>
  </si>
  <si>
    <t>Semana para mostrar:</t>
  </si>
  <si>
    <t>ASIGNADO
A</t>
  </si>
  <si>
    <t>Nombre</t>
  </si>
  <si>
    <t>PROGRESO</t>
  </si>
  <si>
    <t>INICIO</t>
  </si>
  <si>
    <t>fecha</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</si>
  <si>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</si>
  <si>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</si>
  <si>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</si>
  <si>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</si>
  <si>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</si>
  <si>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</si>
  <si>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</si>
  <si>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dos hojas de cálculo en este libro. 
ProjectSchedule
Acerca de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</si>
  <si>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</si>
  <si>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</si>
  <si>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</si>
  <si>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</si>
  <si>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</si>
  <si>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</si>
  <si>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</si>
  <si>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</si>
  <si>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</si>
  <si>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La Semana para mostrar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para mostrar en la celda E4, comienza en la celda I4 y se calcula automáticamente. Hay 8 semanas representadas en esta vista desde la celda I4 hasta la celda BF4.
No debería modificar estas celdas.
La etiqueta de la semana para mostrar se encuentra en la celda C4.</t>
  </si>
  <si>
    <t>planificacion</t>
  </si>
  <si>
    <t>creacion de grupos</t>
  </si>
  <si>
    <t>distribuccion de tareas</t>
  </si>
  <si>
    <t>creacion de diagramas</t>
  </si>
  <si>
    <t>actualizar github</t>
  </si>
  <si>
    <t>codificacion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</si>
</sst>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d\-m\-yy;@"/>
    <numFmt numFmtId="170" formatCode="[$-C0A]d\ &quot;de&quot;\ mmm\ &quot;de&quot;\ yyyy;@"/>
    <numFmt numFmtId="171" formatCode="d"/>
    <numFmt numFmtId="172" formatCode="ddd\,\ d/m/yyyy"/>
  </numFmts>
  <fonts count="34"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8" fillId="0" borderId="0" applyFont="0" applyFill="0" applyBorder="0" applyAlignment="0" applyProtection="0"/>
    <xf numFmtId="0" fontId="21" fillId="0" borderId="0"/>
    <xf numFmtId="167" fontId="8" fillId="0" borderId="3" applyFont="0" applyFill="0" applyAlignment="0" applyProtection="0"/>
    <xf numFmtId="0" fontId="12"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68" fontId="8" fillId="0" borderId="3">
      <alignment horizontal="center" vertical="center"/>
    </xf>
    <xf numFmtId="169"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22" fillId="0" borderId="0" applyNumberFormat="0" applyFill="0" applyBorder="0" applyAlignment="0" applyProtection="0"/>
    <xf numFmtId="166" fontId="8" fillId="0" borderId="0" applyFont="0" applyFill="0" applyBorder="0" applyAlignment="0" applyProtection="0"/>
    <xf numFmtId="165" fontId="8" fillId="0" borderId="0" applyFont="0" applyFill="0" applyBorder="0" applyAlignment="0" applyProtection="0"/>
    <xf numFmtId="164" fontId="8" fillId="0" borderId="0" applyFont="0" applyFill="0" applyBorder="0" applyAlignment="0" applyProtection="0"/>
    <xf numFmtId="0" fontId="23" fillId="0" borderId="0" applyNumberFormat="0" applyFill="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6" fillId="16" borderId="0" applyNumberFormat="0" applyBorder="0" applyAlignment="0" applyProtection="0"/>
    <xf numFmtId="0" fontId="27" fillId="17" borderId="11" applyNumberFormat="0" applyAlignment="0" applyProtection="0"/>
    <xf numFmtId="0" fontId="28" fillId="18" borderId="12" applyNumberFormat="0" applyAlignment="0" applyProtection="0"/>
    <xf numFmtId="0" fontId="29" fillId="18" borderId="11" applyNumberFormat="0" applyAlignment="0" applyProtection="0"/>
    <xf numFmtId="0" fontId="30" fillId="0" borderId="13" applyNumberFormat="0" applyFill="0" applyAlignment="0" applyProtection="0"/>
    <xf numFmtId="0" fontId="31" fillId="19" borderId="14" applyNumberFormat="0" applyAlignment="0" applyProtection="0"/>
    <xf numFmtId="0" fontId="32" fillId="0" borderId="0" applyNumberFormat="0" applyFill="0" applyBorder="0" applyAlignment="0" applyProtection="0"/>
    <xf numFmtId="0" fontId="8" fillId="20" borderId="15" applyNumberFormat="0" applyFont="0" applyAlignment="0" applyProtection="0"/>
    <xf numFmtId="0" fontId="33" fillId="0" borderId="0" applyNumberFormat="0" applyFill="0" applyBorder="0" applyAlignment="0" applyProtection="0"/>
    <xf numFmtId="0" fontId="5" fillId="0" borderId="16" applyNumberFormat="0" applyFill="0" applyAlignment="0" applyProtection="0"/>
    <xf numFmtId="0" fontId="21"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21"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21"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21"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21"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40" borderId="0" applyNumberFormat="0" applyBorder="0" applyAlignment="0" applyProtection="0"/>
    <xf numFmtId="0" fontId="21" fillId="41" borderId="0" applyNumberFormat="0" applyBorder="0" applyAlignment="0" applyProtection="0"/>
    <xf numFmtId="0" fontId="8" fillId="42"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cellStyleXfs>
  <cellXfs count="9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3" borderId="1" xfId="0" applyFont="1" applyFill="1" applyBorder="1" applyAlignment="1">
      <alignment horizontal="left" vertical="center" indent="1"/>
    </xf>
    <xf numFmtId="0" fontId="6" fillId="13" borderId="1" xfId="0" applyFont="1" applyFill="1" applyBorder="1" applyAlignment="1">
      <alignment horizontal="center" vertical="center" wrapText="1"/>
    </xf>
    <xf numFmtId="0" fontId="11" fillId="12" borderId="8" xfId="0" applyFont="1" applyFill="1" applyBorder="1" applyAlignment="1">
      <alignment horizontal="center" vertical="center" shrinkToFit="1"/>
    </xf>
    <xf numFmtId="0" fontId="13" fillId="0" borderId="0" xfId="0" applyFont="1"/>
    <xf numFmtId="0" fontId="14" fillId="0" borderId="0" xfId="1" applyFont="1" applyAlignment="1" applyProtection="1"/>
    <xf numFmtId="0" fontId="4" fillId="0" borderId="2" xfId="0" applyFont="1" applyBorder="1" applyAlignment="1">
      <alignment horizontal="center" vertical="center"/>
    </xf>
    <xf numFmtId="0" fontId="5" fillId="8" borderId="2" xfId="0" applyFont="1" applyFill="1" applyBorder="1" applyAlignment="1">
      <alignment horizontal="left" vertical="center" indent="1"/>
    </xf>
    <xf numFmtId="0" fontId="5" fillId="9" borderId="2" xfId="0" applyFont="1" applyFill="1" applyBorder="1" applyAlignment="1">
      <alignment horizontal="left" vertical="center" indent="1"/>
    </xf>
    <xf numFmtId="0" fontId="5" fillId="6" borderId="2" xfId="0" applyFont="1" applyFill="1" applyBorder="1" applyAlignment="1">
      <alignment horizontal="left" vertical="center" indent="1"/>
    </xf>
    <xf numFmtId="0" fontId="5" fillId="5" borderId="2" xfId="0" applyFont="1" applyFill="1" applyBorder="1" applyAlignment="1">
      <alignment horizontal="left" vertical="center" indent="1"/>
    </xf>
    <xf numFmtId="0" fontId="7" fillId="2" borderId="2" xfId="0" applyFont="1" applyFill="1" applyBorder="1" applyAlignment="1">
      <alignment horizontal="left" vertical="center" indent="1"/>
    </xf>
    <xf numFmtId="0" fontId="4"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5" fillId="0" borderId="0" xfId="0" applyFont="1" applyAlignment="1">
      <alignment horizontal="left" vertical="center"/>
    </xf>
    <xf numFmtId="0" fontId="16" fillId="0" borderId="0" xfId="0" applyFont="1" applyAlignment="1">
      <alignment horizontal="left" vertical="center"/>
    </xf>
    <xf numFmtId="0" fontId="18" fillId="0" borderId="0" xfId="0" applyFont="1"/>
    <xf numFmtId="0" fontId="20" fillId="0" borderId="0" xfId="0" applyFont="1" applyAlignment="1">
      <alignment vertical="center"/>
    </xf>
    <xf numFmtId="0" fontId="19" fillId="0" borderId="0" xfId="0" applyFont="1" applyAlignment="1">
      <alignment horizontal="left" vertical="top" wrapText="1" indent="1"/>
    </xf>
    <xf numFmtId="0" fontId="2" fillId="0" borderId="0" xfId="0" applyFont="1" applyAlignment="1">
      <alignment horizontal="left" vertical="top"/>
    </xf>
    <xf numFmtId="0" fontId="17" fillId="0" borderId="0" xfId="0" applyFont="1" applyAlignment="1">
      <alignment vertical="top"/>
    </xf>
    <xf numFmtId="0" fontId="21" fillId="0" borderId="0" xfId="3"/>
    <xf numFmtId="0" fontId="21" fillId="0" borderId="0" xfId="3" applyAlignment="1">
      <alignment wrapText="1"/>
    </xf>
    <xf numFmtId="0" fontId="21" fillId="0" borderId="0" xfId="0" applyFont="1" applyAlignment="1">
      <alignment horizontal="center"/>
    </xf>
    <xf numFmtId="0" fontId="14" fillId="0" borderId="0" xfId="1" applyFont="1" applyProtection="1">
      <alignment vertical="top"/>
    </xf>
    <xf numFmtId="0" fontId="0" fillId="0" borderId="0" xfId="0" applyAlignment="1">
      <alignment wrapText="1"/>
    </xf>
    <xf numFmtId="0" fontId="12" fillId="0" borderId="0" xfId="5" applyAlignment="1">
      <alignment horizontal="left"/>
    </xf>
    <xf numFmtId="0" fontId="9" fillId="0" borderId="0" xfId="6"/>
    <xf numFmtId="0" fontId="9" fillId="0" borderId="0" xfId="7">
      <alignment vertical="top"/>
    </xf>
    <xf numFmtId="0" fontId="8" fillId="8" borderId="2" xfId="11" applyFill="1">
      <alignment horizontal="center" vertical="center"/>
    </xf>
    <xf numFmtId="0" fontId="8" fillId="3" borderId="2" xfId="11" applyFill="1">
      <alignment horizontal="center" vertical="center"/>
    </xf>
    <xf numFmtId="0" fontId="8" fillId="9" borderId="2" xfId="11" applyFill="1">
      <alignment horizontal="center" vertical="center"/>
    </xf>
    <xf numFmtId="0" fontId="8" fillId="4" borderId="2" xfId="11" applyFill="1">
      <alignment horizontal="center" vertical="center"/>
    </xf>
    <xf numFmtId="0" fontId="8" fillId="6" borderId="2" xfId="11" applyFill="1">
      <alignment horizontal="center" vertical="center"/>
    </xf>
    <xf numFmtId="0" fontId="8" fillId="11" borderId="2" xfId="11" applyFill="1">
      <alignment horizontal="center" vertical="center"/>
    </xf>
    <xf numFmtId="0" fontId="8" fillId="5" borderId="2" xfId="11" applyFill="1">
      <alignment horizontal="center" vertical="center"/>
    </xf>
    <xf numFmtId="0" fontId="8" fillId="10" borderId="2" xfId="11" applyFill="1">
      <alignment horizontal="center" vertical="center"/>
    </xf>
    <xf numFmtId="0" fontId="8" fillId="0" borderId="2" xfId="11">
      <alignment horizontal="center" vertical="center"/>
    </xf>
    <xf numFmtId="0" fontId="8" fillId="3" borderId="2" xfId="12" applyFill="1">
      <alignment horizontal="left" vertical="center" indent="2"/>
    </xf>
    <xf numFmtId="0" fontId="8" fillId="4" borderId="2" xfId="12" applyFill="1">
      <alignment horizontal="left" vertical="center" indent="2"/>
    </xf>
    <xf numFmtId="0" fontId="8" fillId="11" borderId="2" xfId="12" applyFill="1">
      <alignment horizontal="left" vertical="center" indent="2"/>
    </xf>
    <xf numFmtId="0" fontId="8" fillId="10" borderId="2" xfId="12" applyFill="1">
      <alignment horizontal="left" vertical="center" indent="2"/>
    </xf>
    <xf numFmtId="0" fontId="8" fillId="0" borderId="2" xfId="12">
      <alignment horizontal="left" vertical="center" indent="2"/>
    </xf>
    <xf numFmtId="0" fontId="0" fillId="0" borderId="0" xfId="0" applyAlignment="1">
      <alignment horizontal="left" vertical="top" wrapText="1" indent="1"/>
    </xf>
    <xf numFmtId="0" fontId="3" fillId="0" borderId="0" xfId="1" applyAlignment="1" applyProtection="1">
      <alignment horizontal="left" vertical="top" indent="1"/>
    </xf>
    <xf numFmtId="0" fontId="0" fillId="2" borderId="2" xfId="0" applyFill="1" applyBorder="1" applyAlignment="1">
      <alignment horizontal="center" vertical="center"/>
    </xf>
    <xf numFmtId="169" fontId="0" fillId="2" borderId="2" xfId="0" applyNumberFormat="1" applyFill="1" applyBorder="1" applyAlignment="1">
      <alignment horizontal="center" vertical="center"/>
    </xf>
    <xf numFmtId="171" fontId="10" fillId="7" borderId="6" xfId="0" applyNumberFormat="1" applyFont="1" applyFill="1" applyBorder="1" applyAlignment="1">
      <alignment horizontal="center" vertical="center"/>
    </xf>
    <xf numFmtId="171" fontId="10" fillId="7" borderId="0" xfId="0" applyNumberFormat="1" applyFont="1" applyFill="1" applyAlignment="1">
      <alignment horizontal="center" vertical="center"/>
    </xf>
    <xf numFmtId="171" fontId="10" fillId="7" borderId="7" xfId="0" applyNumberFormat="1" applyFont="1" applyFill="1" applyBorder="1" applyAlignment="1">
      <alignment horizontal="center" vertical="center"/>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9" fontId="4" fillId="9" borderId="2" xfId="2" applyFont="1" applyFill="1" applyBorder="1" applyAlignment="1">
      <alignment horizontal="center" vertical="center"/>
    </xf>
    <xf numFmtId="9" fontId="4" fillId="4" borderId="2" xfId="2" applyFont="1" applyFill="1" applyBorder="1" applyAlignment="1">
      <alignment horizontal="center" vertical="center"/>
    </xf>
    <xf numFmtId="9" fontId="4" fillId="6" borderId="2" xfId="2" applyFont="1" applyFill="1" applyBorder="1" applyAlignment="1">
      <alignment horizontal="center" vertical="center"/>
    </xf>
    <xf numFmtId="9" fontId="4" fillId="11" borderId="2" xfId="2" applyFont="1" applyFill="1" applyBorder="1" applyAlignment="1">
      <alignment horizontal="center" vertical="center"/>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9" fontId="4" fillId="0" borderId="2" xfId="2" applyFont="1" applyBorder="1" applyAlignment="1">
      <alignment horizontal="center" vertical="center"/>
    </xf>
    <xf numFmtId="9" fontId="4" fillId="2" borderId="2" xfId="2" applyFont="1" applyFill="1" applyBorder="1" applyAlignment="1">
      <alignment horizontal="center" vertical="center"/>
    </xf>
    <xf numFmtId="169" fontId="0" fillId="8" borderId="2" xfId="0" applyNumberFormat="1" applyFill="1" applyBorder="1" applyAlignment="1">
      <alignment horizontal="center" vertical="center"/>
    </xf>
    <xf numFmtId="169" fontId="4" fillId="8" borderId="2" xfId="0" applyNumberFormat="1" applyFont="1" applyFill="1" applyBorder="1" applyAlignment="1">
      <alignment horizontal="center" vertical="center"/>
    </xf>
    <xf numFmtId="169" fontId="8" fillId="3" borderId="2" xfId="10" applyFill="1">
      <alignment horizontal="center" vertical="center"/>
    </xf>
    <xf numFmtId="169" fontId="0" fillId="9" borderId="2" xfId="0" applyNumberFormat="1" applyFill="1" applyBorder="1" applyAlignment="1">
      <alignment horizontal="center" vertical="center"/>
    </xf>
    <xf numFmtId="169" fontId="4" fillId="9" borderId="2" xfId="0" applyNumberFormat="1" applyFont="1" applyFill="1" applyBorder="1" applyAlignment="1">
      <alignment horizontal="center" vertical="center"/>
    </xf>
    <xf numFmtId="169" fontId="8" fillId="4" borderId="2" xfId="10" applyFill="1">
      <alignment horizontal="center" vertical="center"/>
    </xf>
    <xf numFmtId="169" fontId="0" fillId="6" borderId="2" xfId="0" applyNumberFormat="1" applyFill="1" applyBorder="1" applyAlignment="1">
      <alignment horizontal="center" vertical="center"/>
    </xf>
    <xf numFmtId="169" fontId="4" fillId="6" borderId="2" xfId="0" applyNumberFormat="1" applyFont="1" applyFill="1" applyBorder="1" applyAlignment="1">
      <alignment horizontal="center" vertical="center"/>
    </xf>
    <xf numFmtId="169" fontId="8" fillId="11" borderId="2" xfId="10" applyFill="1">
      <alignment horizontal="center" vertical="center"/>
    </xf>
    <xf numFmtId="169" fontId="0" fillId="5" borderId="2" xfId="0" applyNumberFormat="1" applyFill="1" applyBorder="1" applyAlignment="1">
      <alignment horizontal="center" vertical="center"/>
    </xf>
    <xf numFmtId="169" fontId="4" fillId="5" borderId="2" xfId="0" applyNumberFormat="1" applyFont="1" applyFill="1" applyBorder="1" applyAlignment="1">
      <alignment horizontal="center" vertical="center"/>
    </xf>
    <xf numFmtId="169" fontId="8" fillId="10" borderId="2" xfId="10" applyFill="1">
      <alignment horizontal="center" vertical="center"/>
    </xf>
    <xf numFmtId="169" fontId="8" fillId="0" borderId="2" xfId="10">
      <alignment horizontal="center" vertical="center"/>
    </xf>
    <xf numFmtId="170" fontId="0" fillId="7" borderId="4" xfId="0" applyNumberFormat="1" applyFill="1" applyBorder="1" applyAlignment="1">
      <alignment horizontal="left" vertical="center" wrapText="1" indent="1"/>
    </xf>
    <xf numFmtId="170" fontId="0" fillId="7" borderId="1" xfId="0" applyNumberFormat="1" applyFill="1" applyBorder="1" applyAlignment="1">
      <alignment horizontal="left" vertical="center" wrapText="1" indent="1"/>
    </xf>
    <xf numFmtId="170" fontId="0" fillId="7" borderId="5" xfId="0" applyNumberFormat="1" applyFill="1" applyBorder="1" applyAlignment="1">
      <alignment horizontal="left" vertical="center" wrapText="1" indent="1"/>
    </xf>
    <xf numFmtId="172" fontId="8" fillId="0" borderId="3" xfId="9" applyNumberFormat="1">
      <alignment horizontal="center" vertical="center"/>
    </xf>
    <xf numFmtId="0" fontId="8" fillId="0" borderId="0" xfId="8">
      <alignment horizontal="right" indent="1"/>
    </xf>
    <xf numFmtId="0" fontId="8" fillId="0" borderId="7" xfId="8" applyBorder="1">
      <alignment horizontal="right" indent="1"/>
    </xf>
    <xf numFmtId="0" fontId="0" fillId="0" borderId="10" xfId="0" applyBorder="1"/>
    <xf numFmtId="0" fontId="0" fillId="3" borderId="2" xfId="12" applyFont="1" applyFill="1">
      <alignment horizontal="left" vertical="center" indent="2"/>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cellStyle name="Hipervínculo" xfId="1" builtinId="8" customBuiltin="1"/>
    <cellStyle name="Hipervínculo visitado" xfId="13" builtinId="9" customBuiltin="1"/>
    <cellStyle name="Incorrecto" xfId="19" builtinId="27" customBuiltin="1"/>
    <cellStyle name="Inicio del proyecto" xfId="9"/>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cellStyle name="Normal" xfId="0" builtinId="0" customBuiltin="1"/>
    <cellStyle name="Notas" xfId="27" builtinId="10" customBuiltin="1"/>
    <cellStyle name="Porcentaje" xfId="2" builtinId="5" customBuiltin="1"/>
    <cellStyle name="Salida" xfId="22" builtinId="21" customBuiltin="1"/>
    <cellStyle name="Tarea" xfId="12"/>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L36"/>
  <sheetViews>
    <sheetView showGridLines="0" tabSelected="1" showRuler="0" zoomScaleNormal="100" zoomScalePageLayoutView="70" workbookViewId="0">
      <pane ySplit="6" topLeftCell="A7" activePane="bottomLeft" state="frozen"/>
      <selection pane="bottomLeft" activeCell="C2" sqref="C2"/>
    </sheetView>
  </sheetViews>
  <sheetFormatPr baseColWidth="10" defaultColWidth="9.109375" defaultRowHeight="30" customHeight="1" x14ac:dyDescent="0.3"/>
  <cols>
    <col min="1" max="1" width="2.6640625" style="32" customWidth="1"/>
    <col min="2" max="2" width="30" customWidth="1"/>
    <col min="3" max="3" width="30.6640625" customWidth="1"/>
    <col min="4" max="4" width="10.6640625" customWidth="1"/>
    <col min="5" max="5" width="10.6640625" style="5" bestFit="1" customWidth="1"/>
    <col min="6" max="6" width="10.6640625" bestFit="1" customWidth="1"/>
    <col min="7" max="7" width="2.6640625" customWidth="1"/>
    <col min="8" max="8" width="9.44140625" hidden="1" customWidth="1"/>
    <col min="9" max="64" width="2.6640625" customWidth="1"/>
    <col min="69" max="70" width="10.33203125"/>
  </cols>
  <sheetData>
    <row r="1" spans="1:64" ht="30" customHeight="1" x14ac:dyDescent="0.55000000000000004">
      <c r="A1" s="33" t="s">
        <v>0</v>
      </c>
      <c r="B1" s="37" t="s">
        <v>13</v>
      </c>
      <c r="C1" s="1"/>
      <c r="D1" s="2"/>
      <c r="E1" s="4"/>
      <c r="F1" s="23"/>
      <c r="H1" s="2"/>
      <c r="I1" s="11" t="s">
        <v>34</v>
      </c>
    </row>
    <row r="2" spans="1:64" ht="30" customHeight="1" x14ac:dyDescent="0.35">
      <c r="A2" s="32" t="s">
        <v>1</v>
      </c>
      <c r="B2" s="38" t="s">
        <v>14</v>
      </c>
      <c r="I2" s="35" t="s">
        <v>35</v>
      </c>
    </row>
    <row r="3" spans="1:64" ht="30" customHeight="1" x14ac:dyDescent="0.3">
      <c r="A3" s="32" t="s">
        <v>2</v>
      </c>
      <c r="B3" s="39" t="s">
        <v>15</v>
      </c>
      <c r="C3" s="88" t="s">
        <v>25</v>
      </c>
      <c r="D3" s="89"/>
      <c r="E3" s="87">
        <f ca="1">TODAY()-14</f>
        <v>46098</v>
      </c>
      <c r="F3" s="87"/>
    </row>
    <row r="4" spans="1:64" ht="30" customHeight="1" x14ac:dyDescent="0.3">
      <c r="A4" s="33" t="s">
        <v>49</v>
      </c>
      <c r="C4" s="88" t="s">
        <v>26</v>
      </c>
      <c r="D4" s="89"/>
      <c r="E4" s="7">
        <v>1</v>
      </c>
      <c r="I4" s="84">
        <f ca="1">I5</f>
        <v>46097</v>
      </c>
      <c r="J4" s="85"/>
      <c r="K4" s="85"/>
      <c r="L4" s="85"/>
      <c r="M4" s="85"/>
      <c r="N4" s="85"/>
      <c r="O4" s="86"/>
      <c r="P4" s="84">
        <f ca="1">P5</f>
        <v>46104</v>
      </c>
      <c r="Q4" s="85"/>
      <c r="R4" s="85"/>
      <c r="S4" s="85"/>
      <c r="T4" s="85"/>
      <c r="U4" s="85"/>
      <c r="V4" s="86"/>
      <c r="W4" s="84">
        <f ca="1">W5</f>
        <v>46111</v>
      </c>
      <c r="X4" s="85"/>
      <c r="Y4" s="85"/>
      <c r="Z4" s="85"/>
      <c r="AA4" s="85"/>
      <c r="AB4" s="85"/>
      <c r="AC4" s="86"/>
      <c r="AD4" s="84">
        <f ca="1">AD5</f>
        <v>46118</v>
      </c>
      <c r="AE4" s="85"/>
      <c r="AF4" s="85"/>
      <c r="AG4" s="85"/>
      <c r="AH4" s="85"/>
      <c r="AI4" s="85"/>
      <c r="AJ4" s="86"/>
      <c r="AK4" s="84">
        <f ca="1">AK5</f>
        <v>46125</v>
      </c>
      <c r="AL4" s="85"/>
      <c r="AM4" s="85"/>
      <c r="AN4" s="85"/>
      <c r="AO4" s="85"/>
      <c r="AP4" s="85"/>
      <c r="AQ4" s="86"/>
      <c r="AR4" s="84">
        <f ca="1">AR5</f>
        <v>46132</v>
      </c>
      <c r="AS4" s="85"/>
      <c r="AT4" s="85"/>
      <c r="AU4" s="85"/>
      <c r="AV4" s="85"/>
      <c r="AW4" s="85"/>
      <c r="AX4" s="86"/>
      <c r="AY4" s="84">
        <f ca="1">AY5</f>
        <v>46139</v>
      </c>
      <c r="AZ4" s="85"/>
      <c r="BA4" s="85"/>
      <c r="BB4" s="85"/>
      <c r="BC4" s="85"/>
      <c r="BD4" s="85"/>
      <c r="BE4" s="86"/>
      <c r="BF4" s="84">
        <f ca="1">BF5</f>
        <v>46146</v>
      </c>
      <c r="BG4" s="85"/>
      <c r="BH4" s="85"/>
      <c r="BI4" s="85"/>
      <c r="BJ4" s="85"/>
      <c r="BK4" s="85"/>
      <c r="BL4" s="86"/>
    </row>
    <row r="5" spans="1:64" ht="15" customHeight="1" x14ac:dyDescent="0.3">
      <c r="A5" s="33" t="s">
        <v>3</v>
      </c>
      <c r="B5" s="90"/>
      <c r="C5" s="90"/>
      <c r="D5" s="90"/>
      <c r="E5" s="90"/>
      <c r="F5" s="90"/>
      <c r="G5" s="90"/>
      <c r="I5" s="58">
        <f ca="1">Project_Start-WEEKDAY(Project_Start,1)+2+7*(Display_Week-1)</f>
        <v>46097</v>
      </c>
      <c r="J5" s="59">
        <f ca="1">I5+1</f>
        <v>46098</v>
      </c>
      <c r="K5" s="59">
        <f t="shared" ref="K5:AX5" ca="1" si="0">J5+1</f>
        <v>46099</v>
      </c>
      <c r="L5" s="59">
        <f t="shared" ca="1" si="0"/>
        <v>46100</v>
      </c>
      <c r="M5" s="59">
        <f t="shared" ca="1" si="0"/>
        <v>46101</v>
      </c>
      <c r="N5" s="59">
        <f t="shared" ca="1" si="0"/>
        <v>46102</v>
      </c>
      <c r="O5" s="60">
        <f t="shared" ca="1" si="0"/>
        <v>46103</v>
      </c>
      <c r="P5" s="58">
        <f ca="1">O5+1</f>
        <v>46104</v>
      </c>
      <c r="Q5" s="59">
        <f ca="1">P5+1</f>
        <v>46105</v>
      </c>
      <c r="R5" s="59">
        <f t="shared" ca="1" si="0"/>
        <v>46106</v>
      </c>
      <c r="S5" s="59">
        <f t="shared" ca="1" si="0"/>
        <v>46107</v>
      </c>
      <c r="T5" s="59">
        <f t="shared" ca="1" si="0"/>
        <v>46108</v>
      </c>
      <c r="U5" s="59">
        <f t="shared" ca="1" si="0"/>
        <v>46109</v>
      </c>
      <c r="V5" s="60">
        <f t="shared" ca="1" si="0"/>
        <v>46110</v>
      </c>
      <c r="W5" s="58">
        <f ca="1">V5+1</f>
        <v>46111</v>
      </c>
      <c r="X5" s="59">
        <f ca="1">W5+1</f>
        <v>46112</v>
      </c>
      <c r="Y5" s="59">
        <f t="shared" ca="1" si="0"/>
        <v>46113</v>
      </c>
      <c r="Z5" s="59">
        <f t="shared" ca="1" si="0"/>
        <v>46114</v>
      </c>
      <c r="AA5" s="59">
        <f t="shared" ca="1" si="0"/>
        <v>46115</v>
      </c>
      <c r="AB5" s="59">
        <f t="shared" ca="1" si="0"/>
        <v>46116</v>
      </c>
      <c r="AC5" s="60">
        <f t="shared" ca="1" si="0"/>
        <v>46117</v>
      </c>
      <c r="AD5" s="58">
        <f ca="1">AC5+1</f>
        <v>46118</v>
      </c>
      <c r="AE5" s="59">
        <f ca="1">AD5+1</f>
        <v>46119</v>
      </c>
      <c r="AF5" s="59">
        <f t="shared" ca="1" si="0"/>
        <v>46120</v>
      </c>
      <c r="AG5" s="59">
        <f t="shared" ca="1" si="0"/>
        <v>46121</v>
      </c>
      <c r="AH5" s="59">
        <f t="shared" ca="1" si="0"/>
        <v>46122</v>
      </c>
      <c r="AI5" s="59">
        <f t="shared" ca="1" si="0"/>
        <v>46123</v>
      </c>
      <c r="AJ5" s="60">
        <f t="shared" ca="1" si="0"/>
        <v>46124</v>
      </c>
      <c r="AK5" s="58">
        <f ca="1">AJ5+1</f>
        <v>46125</v>
      </c>
      <c r="AL5" s="59">
        <f ca="1">AK5+1</f>
        <v>46126</v>
      </c>
      <c r="AM5" s="59">
        <f t="shared" ca="1" si="0"/>
        <v>46127</v>
      </c>
      <c r="AN5" s="59">
        <f t="shared" ca="1" si="0"/>
        <v>46128</v>
      </c>
      <c r="AO5" s="59">
        <f t="shared" ca="1" si="0"/>
        <v>46129</v>
      </c>
      <c r="AP5" s="59">
        <f t="shared" ca="1" si="0"/>
        <v>46130</v>
      </c>
      <c r="AQ5" s="60">
        <f t="shared" ca="1" si="0"/>
        <v>46131</v>
      </c>
      <c r="AR5" s="58">
        <f ca="1">AQ5+1</f>
        <v>46132</v>
      </c>
      <c r="AS5" s="59">
        <f ca="1">AR5+1</f>
        <v>46133</v>
      </c>
      <c r="AT5" s="59">
        <f t="shared" ca="1" si="0"/>
        <v>46134</v>
      </c>
      <c r="AU5" s="59">
        <f t="shared" ca="1" si="0"/>
        <v>46135</v>
      </c>
      <c r="AV5" s="59">
        <f t="shared" ca="1" si="0"/>
        <v>46136</v>
      </c>
      <c r="AW5" s="59">
        <f t="shared" ca="1" si="0"/>
        <v>46137</v>
      </c>
      <c r="AX5" s="60">
        <f t="shared" ca="1" si="0"/>
        <v>46138</v>
      </c>
      <c r="AY5" s="58">
        <f ca="1">AX5+1</f>
        <v>46139</v>
      </c>
      <c r="AZ5" s="59">
        <f ca="1">AY5+1</f>
        <v>46140</v>
      </c>
      <c r="BA5" s="59">
        <f t="shared" ref="BA5:BE5" ca="1" si="1">AZ5+1</f>
        <v>46141</v>
      </c>
      <c r="BB5" s="59">
        <f t="shared" ca="1" si="1"/>
        <v>46142</v>
      </c>
      <c r="BC5" s="59">
        <f t="shared" ca="1" si="1"/>
        <v>46143</v>
      </c>
      <c r="BD5" s="59">
        <f t="shared" ca="1" si="1"/>
        <v>46144</v>
      </c>
      <c r="BE5" s="60">
        <f t="shared" ca="1" si="1"/>
        <v>46145</v>
      </c>
      <c r="BF5" s="58">
        <f ca="1">BE5+1</f>
        <v>46146</v>
      </c>
      <c r="BG5" s="59">
        <f ca="1">BF5+1</f>
        <v>46147</v>
      </c>
      <c r="BH5" s="59">
        <f t="shared" ref="BH5:BL5" ca="1" si="2">BG5+1</f>
        <v>46148</v>
      </c>
      <c r="BI5" s="59">
        <f t="shared" ca="1" si="2"/>
        <v>46149</v>
      </c>
      <c r="BJ5" s="59">
        <f t="shared" ca="1" si="2"/>
        <v>46150</v>
      </c>
      <c r="BK5" s="59">
        <f t="shared" ca="1" si="2"/>
        <v>46151</v>
      </c>
      <c r="BL5" s="60">
        <f t="shared" ca="1" si="2"/>
        <v>46152</v>
      </c>
    </row>
    <row r="6" spans="1:64" ht="30" customHeight="1" thickBot="1" x14ac:dyDescent="0.35">
      <c r="A6" s="33" t="s">
        <v>4</v>
      </c>
      <c r="B6" s="8" t="s">
        <v>16</v>
      </c>
      <c r="C6" s="9" t="s">
        <v>27</v>
      </c>
      <c r="D6" s="9" t="s">
        <v>29</v>
      </c>
      <c r="E6" s="9" t="s">
        <v>30</v>
      </c>
      <c r="F6" s="9" t="s">
        <v>32</v>
      </c>
      <c r="G6" s="9"/>
      <c r="H6" s="9" t="s">
        <v>33</v>
      </c>
      <c r="I6" s="10" t="str">
        <f t="shared" ref="I6" ca="1" si="3">LEFT(TEXT(I5,"ddd"),1)</f>
        <v>l</v>
      </c>
      <c r="J6" s="10" t="str">
        <f t="shared" ref="J6:AR6" ca="1" si="4">LEFT(TEXT(J5,"ddd"),1)</f>
        <v>m</v>
      </c>
      <c r="K6" s="10" t="str">
        <f t="shared" ca="1" si="4"/>
        <v>m</v>
      </c>
      <c r="L6" s="10" t="str">
        <f t="shared" ca="1" si="4"/>
        <v>j</v>
      </c>
      <c r="M6" s="10" t="str">
        <f t="shared" ca="1" si="4"/>
        <v>v</v>
      </c>
      <c r="N6" s="10" t="str">
        <f t="shared" ca="1" si="4"/>
        <v>s</v>
      </c>
      <c r="O6" s="10" t="str">
        <f t="shared" ca="1" si="4"/>
        <v>d</v>
      </c>
      <c r="P6" s="10" t="str">
        <f t="shared" ca="1" si="4"/>
        <v>l</v>
      </c>
      <c r="Q6" s="10" t="str">
        <f t="shared" ca="1" si="4"/>
        <v>m</v>
      </c>
      <c r="R6" s="10" t="str">
        <f t="shared" ca="1" si="4"/>
        <v>m</v>
      </c>
      <c r="S6" s="10" t="str">
        <f t="shared" ca="1" si="4"/>
        <v>j</v>
      </c>
      <c r="T6" s="10" t="str">
        <f t="shared" ca="1" si="4"/>
        <v>v</v>
      </c>
      <c r="U6" s="10" t="str">
        <f t="shared" ca="1" si="4"/>
        <v>s</v>
      </c>
      <c r="V6" s="10" t="str">
        <f t="shared" ca="1" si="4"/>
        <v>d</v>
      </c>
      <c r="W6" s="10" t="str">
        <f t="shared" ca="1" si="4"/>
        <v>l</v>
      </c>
      <c r="X6" s="10" t="str">
        <f t="shared" ca="1" si="4"/>
        <v>m</v>
      </c>
      <c r="Y6" s="10" t="str">
        <f t="shared" ca="1" si="4"/>
        <v>m</v>
      </c>
      <c r="Z6" s="10" t="str">
        <f t="shared" ca="1" si="4"/>
        <v>j</v>
      </c>
      <c r="AA6" s="10" t="str">
        <f t="shared" ca="1" si="4"/>
        <v>v</v>
      </c>
      <c r="AB6" s="10" t="str">
        <f t="shared" ca="1" si="4"/>
        <v>s</v>
      </c>
      <c r="AC6" s="10" t="str">
        <f t="shared" ca="1" si="4"/>
        <v>d</v>
      </c>
      <c r="AD6" s="10" t="str">
        <f t="shared" ca="1" si="4"/>
        <v>l</v>
      </c>
      <c r="AE6" s="10" t="str">
        <f t="shared" ca="1" si="4"/>
        <v>m</v>
      </c>
      <c r="AF6" s="10" t="str">
        <f t="shared" ca="1" si="4"/>
        <v>m</v>
      </c>
      <c r="AG6" s="10" t="str">
        <f t="shared" ca="1" si="4"/>
        <v>j</v>
      </c>
      <c r="AH6" s="10" t="str">
        <f t="shared" ca="1" si="4"/>
        <v>v</v>
      </c>
      <c r="AI6" s="10" t="str">
        <f t="shared" ca="1" si="4"/>
        <v>s</v>
      </c>
      <c r="AJ6" s="10" t="str">
        <f t="shared" ca="1" si="4"/>
        <v>d</v>
      </c>
      <c r="AK6" s="10" t="str">
        <f t="shared" ca="1" si="4"/>
        <v>l</v>
      </c>
      <c r="AL6" s="10" t="str">
        <f t="shared" ca="1" si="4"/>
        <v>m</v>
      </c>
      <c r="AM6" s="10" t="str">
        <f t="shared" ca="1" si="4"/>
        <v>m</v>
      </c>
      <c r="AN6" s="10" t="str">
        <f t="shared" ca="1" si="4"/>
        <v>j</v>
      </c>
      <c r="AO6" s="10" t="str">
        <f t="shared" ca="1" si="4"/>
        <v>v</v>
      </c>
      <c r="AP6" s="10" t="str">
        <f t="shared" ca="1" si="4"/>
        <v>s</v>
      </c>
      <c r="AQ6" s="10" t="str">
        <f t="shared" ca="1" si="4"/>
        <v>d</v>
      </c>
      <c r="AR6" s="10" t="str">
        <f t="shared" ca="1" si="4"/>
        <v>l</v>
      </c>
      <c r="AS6" s="10" t="str">
        <f t="shared" ref="AS6:BL6" ca="1" si="5">LEFT(TEXT(AS5,"ddd"),1)</f>
        <v>m</v>
      </c>
      <c r="AT6" s="10" t="str">
        <f t="shared" ca="1" si="5"/>
        <v>m</v>
      </c>
      <c r="AU6" s="10" t="str">
        <f t="shared" ca="1" si="5"/>
        <v>j</v>
      </c>
      <c r="AV6" s="10" t="str">
        <f t="shared" ca="1" si="5"/>
        <v>v</v>
      </c>
      <c r="AW6" s="10" t="str">
        <f t="shared" ca="1" si="5"/>
        <v>s</v>
      </c>
      <c r="AX6" s="10" t="str">
        <f t="shared" ca="1" si="5"/>
        <v>d</v>
      </c>
      <c r="AY6" s="10" t="str">
        <f t="shared" ca="1" si="5"/>
        <v>l</v>
      </c>
      <c r="AZ6" s="10" t="str">
        <f t="shared" ca="1" si="5"/>
        <v>m</v>
      </c>
      <c r="BA6" s="10" t="str">
        <f t="shared" ca="1" si="5"/>
        <v>m</v>
      </c>
      <c r="BB6" s="10" t="str">
        <f t="shared" ca="1" si="5"/>
        <v>j</v>
      </c>
      <c r="BC6" s="10" t="str">
        <f t="shared" ca="1" si="5"/>
        <v>v</v>
      </c>
      <c r="BD6" s="10" t="str">
        <f t="shared" ca="1" si="5"/>
        <v>s</v>
      </c>
      <c r="BE6" s="10" t="str">
        <f t="shared" ca="1" si="5"/>
        <v>d</v>
      </c>
      <c r="BF6" s="10" t="str">
        <f t="shared" ca="1" si="5"/>
        <v>l</v>
      </c>
      <c r="BG6" s="10" t="str">
        <f t="shared" ca="1" si="5"/>
        <v>m</v>
      </c>
      <c r="BH6" s="10" t="str">
        <f t="shared" ca="1" si="5"/>
        <v>m</v>
      </c>
      <c r="BI6" s="10" t="str">
        <f t="shared" ca="1" si="5"/>
        <v>j</v>
      </c>
      <c r="BJ6" s="10" t="str">
        <f t="shared" ca="1" si="5"/>
        <v>v</v>
      </c>
      <c r="BK6" s="10" t="str">
        <f t="shared" ca="1" si="5"/>
        <v>s</v>
      </c>
      <c r="BL6" s="10" t="str">
        <f t="shared" ca="1" si="5"/>
        <v>d</v>
      </c>
    </row>
    <row r="7" spans="1:64" ht="30" hidden="1" customHeight="1" thickBot="1" x14ac:dyDescent="0.35">
      <c r="A7" s="32" t="s">
        <v>5</v>
      </c>
      <c r="C7" s="36"/>
      <c r="E7"/>
      <c r="H7" t="str">
        <f>IF(OR(ISBLANK(task_start),ISBLANK(task_end)),"",task_end-task_start+1)</f>
        <v/>
      </c>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row>
    <row r="8" spans="1:64" s="3" customFormat="1" ht="30" customHeight="1" thickBot="1" x14ac:dyDescent="0.35">
      <c r="A8" s="33" t="s">
        <v>6</v>
      </c>
      <c r="B8" s="14" t="s">
        <v>50</v>
      </c>
      <c r="C8" s="40"/>
      <c r="D8" s="61"/>
      <c r="E8" s="71"/>
      <c r="F8" s="72"/>
      <c r="G8" s="13"/>
      <c r="H8" s="13" t="str">
        <f t="shared" ref="H8:H33" si="6">IF(OR(ISBLANK(task_start),ISBLANK(task_end)),"",task_end-task_start+1)</f>
        <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row>
    <row r="9" spans="1:64" s="3" customFormat="1" ht="30" customHeight="1" thickBot="1" x14ac:dyDescent="0.35">
      <c r="A9" s="33" t="s">
        <v>7</v>
      </c>
      <c r="B9" s="91" t="s">
        <v>51</v>
      </c>
      <c r="C9" s="41" t="s">
        <v>28</v>
      </c>
      <c r="D9" s="62">
        <v>1</v>
      </c>
      <c r="E9" s="73">
        <f ca="1">Project_Start</f>
        <v>46098</v>
      </c>
      <c r="F9" s="73">
        <f ca="1">E9</f>
        <v>46098</v>
      </c>
      <c r="G9" s="13"/>
      <c r="H9" s="13">
        <f t="shared" ca="1" si="6"/>
        <v>1</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row>
    <row r="10" spans="1:64" s="3" customFormat="1" ht="30" customHeight="1" thickBot="1" x14ac:dyDescent="0.35">
      <c r="A10" s="33" t="s">
        <v>8</v>
      </c>
      <c r="B10" s="91" t="s">
        <v>52</v>
      </c>
      <c r="C10" s="41"/>
      <c r="D10" s="62">
        <v>1</v>
      </c>
      <c r="E10" s="73">
        <f ca="1">F9</f>
        <v>46098</v>
      </c>
      <c r="F10" s="73">
        <f ca="1">E10+1</f>
        <v>46099</v>
      </c>
      <c r="G10" s="13"/>
      <c r="H10" s="13">
        <f t="shared" ca="1" si="6"/>
        <v>2</v>
      </c>
      <c r="I10" s="20"/>
      <c r="J10" s="20"/>
      <c r="K10" s="20"/>
      <c r="L10" s="20"/>
      <c r="M10" s="20"/>
      <c r="N10" s="20"/>
      <c r="O10" s="20"/>
      <c r="P10" s="20"/>
      <c r="Q10" s="20"/>
      <c r="R10" s="20"/>
      <c r="S10" s="20"/>
      <c r="T10" s="20"/>
      <c r="U10" s="21"/>
      <c r="V10" s="21"/>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row>
    <row r="11" spans="1:64" s="3" customFormat="1" ht="30" customHeight="1" thickBot="1" x14ac:dyDescent="0.35">
      <c r="A11" s="32"/>
      <c r="B11" s="91" t="s">
        <v>53</v>
      </c>
      <c r="C11" s="41"/>
      <c r="D11" s="62">
        <v>1</v>
      </c>
      <c r="E11" s="73">
        <f ca="1">F10</f>
        <v>46099</v>
      </c>
      <c r="F11" s="73">
        <f ca="1">E11+2</f>
        <v>46101</v>
      </c>
      <c r="G11" s="13"/>
      <c r="H11" s="13">
        <f t="shared" ca="1" si="6"/>
        <v>3</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row>
    <row r="12" spans="1:64" s="3" customFormat="1" ht="30" customHeight="1" thickBot="1" x14ac:dyDescent="0.35">
      <c r="A12" s="32"/>
      <c r="B12" s="91" t="s">
        <v>54</v>
      </c>
      <c r="C12" s="41"/>
      <c r="D12" s="62">
        <v>1</v>
      </c>
      <c r="E12" s="73">
        <f ca="1">F11</f>
        <v>46101</v>
      </c>
      <c r="F12" s="73">
        <f ca="1">E12+5</f>
        <v>46106</v>
      </c>
      <c r="G12" s="13"/>
      <c r="H12" s="13">
        <f t="shared" ca="1" si="6"/>
        <v>6</v>
      </c>
      <c r="I12" s="20"/>
      <c r="J12" s="20"/>
      <c r="K12" s="20"/>
      <c r="L12" s="20"/>
      <c r="M12" s="20"/>
      <c r="N12" s="20"/>
      <c r="O12" s="20"/>
      <c r="P12" s="20"/>
      <c r="Q12" s="20"/>
      <c r="R12" s="20"/>
      <c r="S12" s="20"/>
      <c r="T12" s="20"/>
      <c r="U12" s="20"/>
      <c r="V12" s="20"/>
      <c r="W12" s="20"/>
      <c r="X12" s="20"/>
      <c r="Y12" s="21"/>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row>
    <row r="13" spans="1:64" s="3" customFormat="1" ht="30" customHeight="1" thickBot="1" x14ac:dyDescent="0.35">
      <c r="A13" s="32"/>
      <c r="B13" s="49"/>
      <c r="C13" s="41"/>
      <c r="D13" s="62"/>
      <c r="E13" s="73"/>
      <c r="F13" s="73"/>
      <c r="G13" s="13"/>
      <c r="H13" s="13" t="str">
        <f t="shared" si="6"/>
        <v/>
      </c>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row>
    <row r="14" spans="1:64" s="3" customFormat="1" ht="30" customHeight="1" thickBot="1" x14ac:dyDescent="0.35">
      <c r="A14" s="33" t="s">
        <v>9</v>
      </c>
      <c r="B14" s="15" t="s">
        <v>55</v>
      </c>
      <c r="C14" s="42"/>
      <c r="D14" s="63"/>
      <c r="E14" s="74"/>
      <c r="F14" s="75"/>
      <c r="G14" s="13"/>
      <c r="H14" s="13" t="str">
        <f t="shared" si="6"/>
        <v/>
      </c>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row>
    <row r="15" spans="1:64" s="3" customFormat="1" ht="30" customHeight="1" thickBot="1" x14ac:dyDescent="0.35">
      <c r="A15" s="33"/>
      <c r="B15" s="50" t="s">
        <v>17</v>
      </c>
      <c r="C15" s="43"/>
      <c r="D15" s="64">
        <v>0.5</v>
      </c>
      <c r="E15" s="76">
        <f>E13+1</f>
        <v>1</v>
      </c>
      <c r="F15" s="76">
        <f>E15+4</f>
        <v>5</v>
      </c>
      <c r="G15" s="13"/>
      <c r="H15" s="13">
        <f t="shared" si="6"/>
        <v>5</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row>
    <row r="16" spans="1:64" s="3" customFormat="1" ht="30" customHeight="1" thickBot="1" x14ac:dyDescent="0.35">
      <c r="A16" s="32"/>
      <c r="B16" s="50" t="s">
        <v>18</v>
      </c>
      <c r="C16" s="43"/>
      <c r="D16" s="64">
        <v>0.5</v>
      </c>
      <c r="E16" s="76">
        <f>E15+2</f>
        <v>3</v>
      </c>
      <c r="F16" s="76">
        <f>E16+5</f>
        <v>8</v>
      </c>
      <c r="G16" s="13"/>
      <c r="H16" s="13">
        <f t="shared" si="6"/>
        <v>6</v>
      </c>
      <c r="I16" s="20"/>
      <c r="J16" s="20"/>
      <c r="K16" s="20"/>
      <c r="L16" s="20"/>
      <c r="M16" s="20"/>
      <c r="N16" s="20"/>
      <c r="O16" s="20"/>
      <c r="P16" s="20"/>
      <c r="Q16" s="20"/>
      <c r="R16" s="20"/>
      <c r="S16" s="20"/>
      <c r="T16" s="20"/>
      <c r="U16" s="21"/>
      <c r="V16" s="21"/>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row>
    <row r="17" spans="1:64" s="3" customFormat="1" ht="30" customHeight="1" thickBot="1" x14ac:dyDescent="0.35">
      <c r="A17" s="32"/>
      <c r="B17" s="50" t="s">
        <v>19</v>
      </c>
      <c r="C17" s="43"/>
      <c r="D17" s="64"/>
      <c r="E17" s="76">
        <f>F16</f>
        <v>8</v>
      </c>
      <c r="F17" s="76">
        <f>E17+3</f>
        <v>11</v>
      </c>
      <c r="G17" s="13"/>
      <c r="H17" s="13">
        <f t="shared" si="6"/>
        <v>4</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row>
    <row r="18" spans="1:64" s="3" customFormat="1" ht="30" customHeight="1" thickBot="1" x14ac:dyDescent="0.35">
      <c r="A18" s="32"/>
      <c r="B18" s="50" t="s">
        <v>20</v>
      </c>
      <c r="C18" s="43"/>
      <c r="D18" s="64"/>
      <c r="E18" s="76">
        <f>E17</f>
        <v>8</v>
      </c>
      <c r="F18" s="76">
        <f>E18+2</f>
        <v>10</v>
      </c>
      <c r="G18" s="13"/>
      <c r="H18" s="13">
        <f t="shared" si="6"/>
        <v>3</v>
      </c>
      <c r="I18" s="20"/>
      <c r="J18" s="20"/>
      <c r="K18" s="20"/>
      <c r="L18" s="20"/>
      <c r="M18" s="20"/>
      <c r="N18" s="20"/>
      <c r="O18" s="20"/>
      <c r="P18" s="20"/>
      <c r="Q18" s="20"/>
      <c r="R18" s="20"/>
      <c r="S18" s="20"/>
      <c r="T18" s="20"/>
      <c r="U18" s="20"/>
      <c r="V18" s="20"/>
      <c r="W18" s="20"/>
      <c r="X18" s="20"/>
      <c r="Y18" s="21"/>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row>
    <row r="19" spans="1:64" s="3" customFormat="1" ht="30" customHeight="1" thickBot="1" x14ac:dyDescent="0.35">
      <c r="A19" s="32"/>
      <c r="B19" s="50" t="s">
        <v>21</v>
      </c>
      <c r="C19" s="43"/>
      <c r="D19" s="64"/>
      <c r="E19" s="76">
        <f>E18</f>
        <v>8</v>
      </c>
      <c r="F19" s="76">
        <f>E19+3</f>
        <v>11</v>
      </c>
      <c r="G19" s="13"/>
      <c r="H19" s="13">
        <f t="shared" si="6"/>
        <v>4</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row>
    <row r="20" spans="1:64" s="3" customFormat="1" ht="30" customHeight="1" thickBot="1" x14ac:dyDescent="0.35">
      <c r="A20" s="32" t="s">
        <v>10</v>
      </c>
      <c r="B20" s="16" t="s">
        <v>22</v>
      </c>
      <c r="C20" s="44"/>
      <c r="D20" s="65"/>
      <c r="E20" s="77"/>
      <c r="F20" s="78"/>
      <c r="G20" s="13"/>
      <c r="H20" s="13" t="str">
        <f t="shared" si="6"/>
        <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row>
    <row r="21" spans="1:64" s="3" customFormat="1" ht="30" customHeight="1" thickBot="1" x14ac:dyDescent="0.35">
      <c r="A21" s="32"/>
      <c r="B21" s="51" t="s">
        <v>17</v>
      </c>
      <c r="C21" s="45"/>
      <c r="D21" s="66"/>
      <c r="E21" s="79">
        <f ca="1">E9+15</f>
        <v>46113</v>
      </c>
      <c r="F21" s="79">
        <f ca="1">E21+5</f>
        <v>46118</v>
      </c>
      <c r="G21" s="13"/>
      <c r="H21" s="13">
        <f t="shared" ca="1" si="6"/>
        <v>6</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row>
    <row r="22" spans="1:64" s="3" customFormat="1" ht="30" customHeight="1" thickBot="1" x14ac:dyDescent="0.35">
      <c r="A22" s="32"/>
      <c r="B22" s="51" t="s">
        <v>18</v>
      </c>
      <c r="C22" s="45"/>
      <c r="D22" s="66"/>
      <c r="E22" s="79">
        <f ca="1">F21+1</f>
        <v>46119</v>
      </c>
      <c r="F22" s="79">
        <f ca="1">E22+4</f>
        <v>46123</v>
      </c>
      <c r="G22" s="13"/>
      <c r="H22" s="13">
        <f t="shared" ca="1" si="6"/>
        <v>5</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row>
    <row r="23" spans="1:64" s="3" customFormat="1" ht="30" customHeight="1" thickBot="1" x14ac:dyDescent="0.35">
      <c r="A23" s="32"/>
      <c r="B23" s="51" t="s">
        <v>19</v>
      </c>
      <c r="C23" s="45"/>
      <c r="D23" s="66"/>
      <c r="E23" s="79">
        <f ca="1">E22+5</f>
        <v>46124</v>
      </c>
      <c r="F23" s="79">
        <f ca="1">E23+5</f>
        <v>46129</v>
      </c>
      <c r="G23" s="13"/>
      <c r="H23" s="13">
        <f t="shared" ca="1" si="6"/>
        <v>6</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row>
    <row r="24" spans="1:64" s="3" customFormat="1" ht="30" customHeight="1" thickBot="1" x14ac:dyDescent="0.35">
      <c r="A24" s="32"/>
      <c r="B24" s="51" t="s">
        <v>20</v>
      </c>
      <c r="C24" s="45"/>
      <c r="D24" s="66"/>
      <c r="E24" s="79">
        <f ca="1">F23+1</f>
        <v>46130</v>
      </c>
      <c r="F24" s="79">
        <f ca="1">E24+4</f>
        <v>46134</v>
      </c>
      <c r="G24" s="13"/>
      <c r="H24" s="13">
        <f t="shared" ca="1" si="6"/>
        <v>5</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row>
    <row r="25" spans="1:64" s="3" customFormat="1" ht="30" customHeight="1" thickBot="1" x14ac:dyDescent="0.35">
      <c r="A25" s="32"/>
      <c r="B25" s="51" t="s">
        <v>21</v>
      </c>
      <c r="C25" s="45"/>
      <c r="D25" s="66"/>
      <c r="E25" s="79">
        <f ca="1">E23</f>
        <v>46124</v>
      </c>
      <c r="F25" s="79">
        <f ca="1">E25+4</f>
        <v>46128</v>
      </c>
      <c r="G25" s="13"/>
      <c r="H25" s="13">
        <f t="shared" ca="1" si="6"/>
        <v>5</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row>
    <row r="26" spans="1:64" s="3" customFormat="1" ht="30" customHeight="1" thickBot="1" x14ac:dyDescent="0.35">
      <c r="A26" s="32" t="s">
        <v>10</v>
      </c>
      <c r="B26" s="17" t="s">
        <v>23</v>
      </c>
      <c r="C26" s="46"/>
      <c r="D26" s="67"/>
      <c r="E26" s="80"/>
      <c r="F26" s="81"/>
      <c r="G26" s="13"/>
      <c r="H26" s="13" t="str">
        <f t="shared" si="6"/>
        <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row>
    <row r="27" spans="1:64" s="3" customFormat="1" ht="30" customHeight="1" thickBot="1" x14ac:dyDescent="0.35">
      <c r="A27" s="32"/>
      <c r="B27" s="52" t="s">
        <v>17</v>
      </c>
      <c r="C27" s="47"/>
      <c r="D27" s="68"/>
      <c r="E27" s="82" t="s">
        <v>31</v>
      </c>
      <c r="F27" s="82" t="s">
        <v>31</v>
      </c>
      <c r="G27" s="13"/>
      <c r="H27" s="13" t="e">
        <f t="shared" si="6"/>
        <v>#VALUE!</v>
      </c>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row>
    <row r="28" spans="1:64" s="3" customFormat="1" ht="30" customHeight="1" thickBot="1" x14ac:dyDescent="0.35">
      <c r="A28" s="32"/>
      <c r="B28" s="52" t="s">
        <v>18</v>
      </c>
      <c r="C28" s="47"/>
      <c r="D28" s="68"/>
      <c r="E28" s="82" t="s">
        <v>31</v>
      </c>
      <c r="F28" s="82" t="s">
        <v>31</v>
      </c>
      <c r="G28" s="13"/>
      <c r="H28" s="13" t="e">
        <f t="shared" si="6"/>
        <v>#VALUE!</v>
      </c>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row>
    <row r="29" spans="1:64" s="3" customFormat="1" ht="30" customHeight="1" thickBot="1" x14ac:dyDescent="0.35">
      <c r="A29" s="32"/>
      <c r="B29" s="52" t="s">
        <v>19</v>
      </c>
      <c r="C29" s="47"/>
      <c r="D29" s="68"/>
      <c r="E29" s="82" t="s">
        <v>31</v>
      </c>
      <c r="F29" s="82" t="s">
        <v>31</v>
      </c>
      <c r="G29" s="13"/>
      <c r="H29" s="13" t="e">
        <f t="shared" si="6"/>
        <v>#VALUE!</v>
      </c>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row>
    <row r="30" spans="1:64" s="3" customFormat="1" ht="30" customHeight="1" thickBot="1" x14ac:dyDescent="0.35">
      <c r="A30" s="32"/>
      <c r="B30" s="52" t="s">
        <v>20</v>
      </c>
      <c r="C30" s="47"/>
      <c r="D30" s="68"/>
      <c r="E30" s="82" t="s">
        <v>31</v>
      </c>
      <c r="F30" s="82" t="s">
        <v>31</v>
      </c>
      <c r="G30" s="13"/>
      <c r="H30" s="13" t="e">
        <f t="shared" si="6"/>
        <v>#VALUE!</v>
      </c>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row>
    <row r="31" spans="1:64" s="3" customFormat="1" ht="30" customHeight="1" thickBot="1" x14ac:dyDescent="0.35">
      <c r="A31" s="32"/>
      <c r="B31" s="52" t="s">
        <v>21</v>
      </c>
      <c r="C31" s="47"/>
      <c r="D31" s="68"/>
      <c r="E31" s="82" t="s">
        <v>31</v>
      </c>
      <c r="F31" s="82" t="s">
        <v>31</v>
      </c>
      <c r="G31" s="13"/>
      <c r="H31" s="13" t="e">
        <f t="shared" si="6"/>
        <v>#VALUE!</v>
      </c>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row>
    <row r="32" spans="1:64" s="3" customFormat="1" ht="30" customHeight="1" thickBot="1" x14ac:dyDescent="0.35">
      <c r="A32" s="32" t="s">
        <v>11</v>
      </c>
      <c r="B32" s="53"/>
      <c r="C32" s="48"/>
      <c r="D32" s="69"/>
      <c r="E32" s="83"/>
      <c r="F32" s="83"/>
      <c r="G32" s="13"/>
      <c r="H32" s="13" t="str">
        <f t="shared" si="6"/>
        <v/>
      </c>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row>
    <row r="33" spans="1:64" s="3" customFormat="1" ht="30" customHeight="1" thickBot="1" x14ac:dyDescent="0.35">
      <c r="A33" s="33" t="s">
        <v>12</v>
      </c>
      <c r="B33" s="18" t="s">
        <v>24</v>
      </c>
      <c r="C33" s="56"/>
      <c r="D33" s="70"/>
      <c r="E33" s="57"/>
      <c r="F33" s="57"/>
      <c r="G33" s="19"/>
      <c r="H33" s="19" t="str">
        <f t="shared" si="6"/>
        <v/>
      </c>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row>
    <row r="34" spans="1:64" ht="30" customHeight="1" x14ac:dyDescent="0.3">
      <c r="G34" s="6"/>
    </row>
    <row r="35" spans="1:64" ht="30" customHeight="1" x14ac:dyDescent="0.3">
      <c r="C35" s="11"/>
      <c r="F35" s="34"/>
    </row>
    <row r="36" spans="1:64" ht="30" customHeight="1" x14ac:dyDescent="0.3">
      <c r="C36" s="12"/>
    </row>
  </sheetData>
  <mergeCells count="12">
    <mergeCell ref="C3:D3"/>
    <mergeCell ref="C4:D4"/>
    <mergeCell ref="B5:G5"/>
    <mergeCell ref="AK4:AQ4"/>
    <mergeCell ref="AR4:AX4"/>
    <mergeCell ref="AY4:BE4"/>
    <mergeCell ref="BF4:BL4"/>
    <mergeCell ref="E3:F3"/>
    <mergeCell ref="I4:O4"/>
    <mergeCell ref="P4:V4"/>
    <mergeCell ref="W4:AC4"/>
    <mergeCell ref="AD4:AJ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formula1>1</formula1>
    </dataValidation>
  </dataValidations>
  <hyperlinks>
    <hyperlink ref="I2" r:id="rId1"/>
    <hyperlink ref="I1" r:id="rId2"/>
  </hyperlinks>
  <printOptions horizontalCentered="1"/>
  <pageMargins left="0.35" right="0.35" top="0.35" bottom="0.5" header="0.3" footer="0.3"/>
  <pageSetup paperSize="9" scale="55" fitToHeight="0" orientation="landscape" r:id="rId3"/>
  <headerFooter differentFirst="1" scaleWithDoc="0">
    <oddFooter>Page &amp;P of &amp;N</oddFooter>
  </headerFooter>
  <ignoredErrors>
    <ignoredError sqref="F18 F22: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6"/>
  <sheetViews>
    <sheetView showGridLines="0" zoomScaleNormal="100" workbookViewId="0"/>
  </sheetViews>
  <sheetFormatPr baseColWidth="10" defaultColWidth="9.109375" defaultRowHeight="13.8" x14ac:dyDescent="0.3"/>
  <cols>
    <col min="1" max="1" width="87.109375" style="24" customWidth="1"/>
    <col min="2" max="16384" width="9.109375" style="2"/>
  </cols>
  <sheetData>
    <row r="1" spans="1:2" ht="46.5" customHeight="1" x14ac:dyDescent="0.3"/>
    <row r="2" spans="1:2" s="26" customFormat="1" ht="15.6" x14ac:dyDescent="0.3">
      <c r="A2" s="25" t="s">
        <v>34</v>
      </c>
      <c r="B2" s="25"/>
    </row>
    <row r="3" spans="1:2" s="30" customFormat="1" ht="27" customHeight="1" x14ac:dyDescent="0.3">
      <c r="A3" s="31" t="s">
        <v>35</v>
      </c>
      <c r="B3" s="31"/>
    </row>
    <row r="4" spans="1:2" s="27" customFormat="1" ht="25.8" x14ac:dyDescent="0.5">
      <c r="A4" s="28" t="s">
        <v>36</v>
      </c>
    </row>
    <row r="5" spans="1:2" ht="87" customHeight="1" x14ac:dyDescent="0.3">
      <c r="A5" s="29" t="s">
        <v>37</v>
      </c>
    </row>
    <row r="6" spans="1:2" ht="26.25" customHeight="1" x14ac:dyDescent="0.3">
      <c r="A6" s="28" t="s">
        <v>38</v>
      </c>
    </row>
    <row r="7" spans="1:2" s="24" customFormat="1" ht="223.5" customHeight="1" x14ac:dyDescent="0.3">
      <c r="A7" s="54" t="s">
        <v>39</v>
      </c>
    </row>
    <row r="8" spans="1:2" s="27" customFormat="1" ht="25.8" x14ac:dyDescent="0.5">
      <c r="A8" s="28" t="s">
        <v>40</v>
      </c>
    </row>
    <row r="9" spans="1:2" ht="57.6" x14ac:dyDescent="0.3">
      <c r="A9" s="29" t="s">
        <v>41</v>
      </c>
    </row>
    <row r="10" spans="1:2" s="24" customFormat="1" ht="27.9" customHeight="1" x14ac:dyDescent="0.3">
      <c r="A10" s="55" t="s">
        <v>42</v>
      </c>
    </row>
    <row r="11" spans="1:2" s="27" customFormat="1" ht="25.8" x14ac:dyDescent="0.5">
      <c r="A11" s="28" t="s">
        <v>43</v>
      </c>
    </row>
    <row r="12" spans="1:2" ht="28.8" x14ac:dyDescent="0.3">
      <c r="A12" s="29" t="s">
        <v>44</v>
      </c>
    </row>
    <row r="13" spans="1:2" s="24" customFormat="1" ht="27.9" customHeight="1" x14ac:dyDescent="0.3">
      <c r="A13" s="55" t="s">
        <v>45</v>
      </c>
    </row>
    <row r="14" spans="1:2" s="27" customFormat="1" ht="25.8" x14ac:dyDescent="0.5">
      <c r="A14" s="28" t="s">
        <v>46</v>
      </c>
    </row>
    <row r="15" spans="1:2" ht="91.5" customHeight="1" x14ac:dyDescent="0.3">
      <c r="A15" s="29" t="s">
        <v>47</v>
      </c>
    </row>
    <row r="16" spans="1:2" ht="86.4" x14ac:dyDescent="0.3">
      <c r="A16" s="29" t="s">
        <v>48</v>
      </c>
    </row>
  </sheetData>
  <hyperlinks>
    <hyperlink ref="A13" r:id="rId1"/>
    <hyperlink ref="A10" r:id="rId2"/>
    <hyperlink ref="A3" r:id="rId3"/>
    <hyperlink ref="A2" r:id="rId4"/>
  </hyperlinks>
  <printOptions horizontalCentered="1"/>
  <pageMargins left="0.35" right="0.35" top="0.35" bottom="0.5" header="0.3" footer="0.3"/>
  <pageSetup paperSize="9" fitToHeight="0" orientation="landscape" r:id="rId5"/>
  <headerFooter differentFirst="1" scaleWithDoc="0">
    <oddFooter>Page &amp;P of &amp;N</oddFoot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CalendarioProyecto</vt:lpstr>
      <vt:lpstr>Acerca de</vt:lpstr>
      <vt:lpstr>Display_Week</vt:lpstr>
      <vt:lpstr>Project_Start</vt:lpstr>
      <vt:lpstr>CalendarioProyecto!task_end</vt:lpstr>
      <vt:lpstr>CalendarioProyecto!task_progress</vt:lpstr>
      <vt:lpstr>CalendarioProyecto!task_start</vt:lpstr>
      <vt:lpstr>CalendarioProyecto!Títulos_a_imprimir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2026-03-31T21:55:08Z</dcterms:modified>
</cp:coreProperties>
</file>